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PL" sheetId="1" r:id="rId4"/>
    <sheet state="visible" name="MSFT" sheetId="2" r:id="rId5"/>
    <sheet state="visible" name="AMZN" sheetId="3" r:id="rId6"/>
    <sheet state="visible" name="NVDA" sheetId="4" r:id="rId7"/>
    <sheet state="visible" name="GOOGL" sheetId="5" r:id="rId8"/>
    <sheet state="visible" name="TSLA" sheetId="6" r:id="rId9"/>
    <sheet state="visible" name="META" sheetId="7" r:id="rId10"/>
    <sheet state="visible" name="BRK.B" sheetId="8" r:id="rId11"/>
    <sheet state="visible" name="UNH" sheetId="9" r:id="rId12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4.63"/>
    <col customWidth="1" min="3" max="3" width="16.88"/>
  </cols>
  <sheetData>
    <row r="1">
      <c r="A1" s="1" t="str">
        <f>IFERROR(__xludf.DUMMYFUNCTION("GOOGLEFINANCE(""NASDAQ:AAPL"", ""price"", TODAY()-182, TODAY(), ""WEEKLY"")"),"Date")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IFERROR(__xludf.DUMMYFUNCTION("""COMPUTED_VALUE"""),45527.66666666667)</f>
        <v>45527.66667</v>
      </c>
      <c r="B2" s="1">
        <f>IFERROR(__xludf.DUMMYFUNCTION("""COMPUTED_VALUE"""),226.84)</f>
        <v>226.84</v>
      </c>
    </row>
    <row r="3">
      <c r="A3" s="2">
        <f>IFERROR(__xludf.DUMMYFUNCTION("""COMPUTED_VALUE"""),45534.66666666667)</f>
        <v>45534.66667</v>
      </c>
      <c r="B3" s="1">
        <f>IFERROR(__xludf.DUMMYFUNCTION("""COMPUTED_VALUE"""),229.0)</f>
        <v>229</v>
      </c>
    </row>
    <row r="4">
      <c r="A4" s="2">
        <f>IFERROR(__xludf.DUMMYFUNCTION("""COMPUTED_VALUE"""),45541.66666666667)</f>
        <v>45541.66667</v>
      </c>
      <c r="B4" s="1">
        <f>IFERROR(__xludf.DUMMYFUNCTION("""COMPUTED_VALUE"""),220.82)</f>
        <v>220.82</v>
      </c>
    </row>
    <row r="5">
      <c r="A5" s="2">
        <f>IFERROR(__xludf.DUMMYFUNCTION("""COMPUTED_VALUE"""),45548.66666666667)</f>
        <v>45548.66667</v>
      </c>
      <c r="B5" s="1">
        <f>IFERROR(__xludf.DUMMYFUNCTION("""COMPUTED_VALUE"""),222.5)</f>
        <v>222.5</v>
      </c>
    </row>
    <row r="6">
      <c r="A6" s="2">
        <f>IFERROR(__xludf.DUMMYFUNCTION("""COMPUTED_VALUE"""),45555.66666666667)</f>
        <v>45555.66667</v>
      </c>
      <c r="B6" s="1">
        <f>IFERROR(__xludf.DUMMYFUNCTION("""COMPUTED_VALUE"""),228.2)</f>
        <v>228.2</v>
      </c>
    </row>
    <row r="7">
      <c r="A7" s="2">
        <f>IFERROR(__xludf.DUMMYFUNCTION("""COMPUTED_VALUE"""),45562.66666666667)</f>
        <v>45562.66667</v>
      </c>
      <c r="B7" s="1">
        <f>IFERROR(__xludf.DUMMYFUNCTION("""COMPUTED_VALUE"""),227.79)</f>
        <v>227.79</v>
      </c>
    </row>
    <row r="8">
      <c r="A8" s="2">
        <f>IFERROR(__xludf.DUMMYFUNCTION("""COMPUTED_VALUE"""),45569.66666666667)</f>
        <v>45569.66667</v>
      </c>
      <c r="B8" s="1">
        <f>IFERROR(__xludf.DUMMYFUNCTION("""COMPUTED_VALUE"""),226.8)</f>
        <v>226.8</v>
      </c>
    </row>
    <row r="9">
      <c r="A9" s="2">
        <f>IFERROR(__xludf.DUMMYFUNCTION("""COMPUTED_VALUE"""),45576.66666666667)</f>
        <v>45576.66667</v>
      </c>
      <c r="B9" s="1">
        <f>IFERROR(__xludf.DUMMYFUNCTION("""COMPUTED_VALUE"""),227.55)</f>
        <v>227.55</v>
      </c>
    </row>
    <row r="10">
      <c r="A10" s="2">
        <f>IFERROR(__xludf.DUMMYFUNCTION("""COMPUTED_VALUE"""),45583.66666666667)</f>
        <v>45583.66667</v>
      </c>
      <c r="B10" s="1">
        <f>IFERROR(__xludf.DUMMYFUNCTION("""COMPUTED_VALUE"""),235.0)</f>
        <v>235</v>
      </c>
    </row>
    <row r="11">
      <c r="A11" s="2">
        <f>IFERROR(__xludf.DUMMYFUNCTION("""COMPUTED_VALUE"""),45590.66666666667)</f>
        <v>45590.66667</v>
      </c>
      <c r="B11" s="1">
        <f>IFERROR(__xludf.DUMMYFUNCTION("""COMPUTED_VALUE"""),231.41)</f>
        <v>231.41</v>
      </c>
    </row>
    <row r="12">
      <c r="A12" s="2">
        <f>IFERROR(__xludf.DUMMYFUNCTION("""COMPUTED_VALUE"""),45597.66666666667)</f>
        <v>45597.66667</v>
      </c>
      <c r="B12" s="1">
        <f>IFERROR(__xludf.DUMMYFUNCTION("""COMPUTED_VALUE"""),222.91)</f>
        <v>222.91</v>
      </c>
    </row>
    <row r="13">
      <c r="A13" s="2">
        <f>IFERROR(__xludf.DUMMYFUNCTION("""COMPUTED_VALUE"""),45604.66666666667)</f>
        <v>45604.66667</v>
      </c>
      <c r="B13" s="1">
        <f>IFERROR(__xludf.DUMMYFUNCTION("""COMPUTED_VALUE"""),226.96)</f>
        <v>226.96</v>
      </c>
    </row>
    <row r="14">
      <c r="A14" s="2">
        <f>IFERROR(__xludf.DUMMYFUNCTION("""COMPUTED_VALUE"""),45611.66666666667)</f>
        <v>45611.66667</v>
      </c>
      <c r="B14" s="1">
        <f>IFERROR(__xludf.DUMMYFUNCTION("""COMPUTED_VALUE"""),225.0)</f>
        <v>225</v>
      </c>
    </row>
    <row r="15">
      <c r="A15" s="2">
        <f>IFERROR(__xludf.DUMMYFUNCTION("""COMPUTED_VALUE"""),45618.66666666667)</f>
        <v>45618.66667</v>
      </c>
      <c r="B15" s="1">
        <f>IFERROR(__xludf.DUMMYFUNCTION("""COMPUTED_VALUE"""),229.87)</f>
        <v>229.87</v>
      </c>
    </row>
    <row r="16">
      <c r="A16" s="2">
        <f>IFERROR(__xludf.DUMMYFUNCTION("""COMPUTED_VALUE"""),45625.54513888889)</f>
        <v>45625.54514</v>
      </c>
      <c r="B16" s="1">
        <f>IFERROR(__xludf.DUMMYFUNCTION("""COMPUTED_VALUE"""),237.33)</f>
        <v>237.33</v>
      </c>
    </row>
    <row r="17">
      <c r="A17" s="2">
        <f>IFERROR(__xludf.DUMMYFUNCTION("""COMPUTED_VALUE"""),45632.66666666667)</f>
        <v>45632.66667</v>
      </c>
      <c r="B17" s="1">
        <f>IFERROR(__xludf.DUMMYFUNCTION("""COMPUTED_VALUE"""),242.84)</f>
        <v>242.84</v>
      </c>
    </row>
    <row r="18">
      <c r="A18" s="2">
        <f>IFERROR(__xludf.DUMMYFUNCTION("""COMPUTED_VALUE"""),45639.66666666667)</f>
        <v>45639.66667</v>
      </c>
      <c r="B18" s="1">
        <f>IFERROR(__xludf.DUMMYFUNCTION("""COMPUTED_VALUE"""),248.13)</f>
        <v>248.13</v>
      </c>
    </row>
    <row r="19">
      <c r="A19" s="2">
        <f>IFERROR(__xludf.DUMMYFUNCTION("""COMPUTED_VALUE"""),45646.66666666667)</f>
        <v>45646.66667</v>
      </c>
      <c r="B19" s="1">
        <f>IFERROR(__xludf.DUMMYFUNCTION("""COMPUTED_VALUE"""),254.49)</f>
        <v>254.49</v>
      </c>
    </row>
    <row r="20">
      <c r="A20" s="2">
        <f>IFERROR(__xludf.DUMMYFUNCTION("""COMPUTED_VALUE"""),45653.66666666667)</f>
        <v>45653.66667</v>
      </c>
      <c r="B20" s="1">
        <f>IFERROR(__xludf.DUMMYFUNCTION("""COMPUTED_VALUE"""),255.59)</f>
        <v>255.59</v>
      </c>
    </row>
    <row r="21">
      <c r="A21" s="2">
        <f>IFERROR(__xludf.DUMMYFUNCTION("""COMPUTED_VALUE"""),45660.66666666667)</f>
        <v>45660.66667</v>
      </c>
      <c r="B21" s="1">
        <f>IFERROR(__xludf.DUMMYFUNCTION("""COMPUTED_VALUE"""),243.36)</f>
        <v>243.36</v>
      </c>
    </row>
    <row r="22">
      <c r="A22" s="2">
        <f>IFERROR(__xludf.DUMMYFUNCTION("""COMPUTED_VALUE"""),45667.66666666667)</f>
        <v>45667.66667</v>
      </c>
      <c r="B22" s="1">
        <f>IFERROR(__xludf.DUMMYFUNCTION("""COMPUTED_VALUE"""),236.85)</f>
        <v>236.85</v>
      </c>
    </row>
    <row r="23">
      <c r="A23" s="2">
        <f>IFERROR(__xludf.DUMMYFUNCTION("""COMPUTED_VALUE"""),45674.66666666667)</f>
        <v>45674.66667</v>
      </c>
      <c r="B23" s="1">
        <f>IFERROR(__xludf.DUMMYFUNCTION("""COMPUTED_VALUE"""),229.98)</f>
        <v>229.98</v>
      </c>
    </row>
    <row r="24">
      <c r="A24" s="2">
        <f>IFERROR(__xludf.DUMMYFUNCTION("""COMPUTED_VALUE"""),45681.66666666667)</f>
        <v>45681.66667</v>
      </c>
      <c r="B24" s="1">
        <f>IFERROR(__xludf.DUMMYFUNCTION("""COMPUTED_VALUE"""),222.78)</f>
        <v>222.78</v>
      </c>
    </row>
    <row r="25">
      <c r="A25" s="2">
        <f>IFERROR(__xludf.DUMMYFUNCTION("""COMPUTED_VALUE"""),45688.66666666667)</f>
        <v>45688.66667</v>
      </c>
      <c r="B25" s="1">
        <f>IFERROR(__xludf.DUMMYFUNCTION("""COMPUTED_VALUE"""),236.0)</f>
        <v>236</v>
      </c>
    </row>
    <row r="26">
      <c r="A26" s="2">
        <f>IFERROR(__xludf.DUMMYFUNCTION("""COMPUTED_VALUE"""),45695.66666666667)</f>
        <v>45695.66667</v>
      </c>
      <c r="B26" s="1">
        <f>IFERROR(__xludf.DUMMYFUNCTION("""COMPUTED_VALUE"""),227.63)</f>
        <v>227.63</v>
      </c>
    </row>
    <row r="27">
      <c r="A27" s="2">
        <f>IFERROR(__xludf.DUMMYFUNCTION("""COMPUTED_VALUE"""),45702.66666666667)</f>
        <v>45702.66667</v>
      </c>
      <c r="B27" s="1">
        <f>IFERROR(__xludf.DUMMYFUNCTION("""COMPUTED_VALUE"""),244.6)</f>
        <v>244.6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IFERROR(__xludf.DUMMYFUNCTION("GOOGLEFINANCE(""NASDAQ:MSFT"",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IFERROR(__xludf.DUMMYFUNCTION("""COMPUTED_VALUE"""),416.79)</f>
        <v>416.79</v>
      </c>
    </row>
    <row r="3">
      <c r="A3" s="3">
        <f>IFERROR(__xludf.DUMMYFUNCTION("""COMPUTED_VALUE"""),45534.66666666667)</f>
        <v>45534.66667</v>
      </c>
      <c r="B3" s="1">
        <f>IFERROR(__xludf.DUMMYFUNCTION("""COMPUTED_VALUE"""),417.14)</f>
        <v>417.14</v>
      </c>
    </row>
    <row r="4">
      <c r="A4" s="3">
        <f>IFERROR(__xludf.DUMMYFUNCTION("""COMPUTED_VALUE"""),45541.66666666667)</f>
        <v>45541.66667</v>
      </c>
      <c r="B4" s="1">
        <f>IFERROR(__xludf.DUMMYFUNCTION("""COMPUTED_VALUE"""),401.7)</f>
        <v>401.7</v>
      </c>
    </row>
    <row r="5">
      <c r="A5" s="3">
        <f>IFERROR(__xludf.DUMMYFUNCTION("""COMPUTED_VALUE"""),45548.66666666667)</f>
        <v>45548.66667</v>
      </c>
      <c r="B5" s="1">
        <f>IFERROR(__xludf.DUMMYFUNCTION("""COMPUTED_VALUE"""),430.59)</f>
        <v>430.59</v>
      </c>
    </row>
    <row r="6">
      <c r="A6" s="3">
        <f>IFERROR(__xludf.DUMMYFUNCTION("""COMPUTED_VALUE"""),45555.66666666667)</f>
        <v>45555.66667</v>
      </c>
      <c r="B6" s="1">
        <f>IFERROR(__xludf.DUMMYFUNCTION("""COMPUTED_VALUE"""),435.27)</f>
        <v>435.27</v>
      </c>
    </row>
    <row r="7">
      <c r="A7" s="3">
        <f>IFERROR(__xludf.DUMMYFUNCTION("""COMPUTED_VALUE"""),45562.66666666667)</f>
        <v>45562.66667</v>
      </c>
      <c r="B7" s="1">
        <f>IFERROR(__xludf.DUMMYFUNCTION("""COMPUTED_VALUE"""),428.02)</f>
        <v>428.02</v>
      </c>
    </row>
    <row r="8">
      <c r="A8" s="3">
        <f>IFERROR(__xludf.DUMMYFUNCTION("""COMPUTED_VALUE"""),45569.66666666667)</f>
        <v>45569.66667</v>
      </c>
      <c r="B8" s="1">
        <f>IFERROR(__xludf.DUMMYFUNCTION("""COMPUTED_VALUE"""),416.06)</f>
        <v>416.06</v>
      </c>
    </row>
    <row r="9">
      <c r="A9" s="3">
        <f>IFERROR(__xludf.DUMMYFUNCTION("""COMPUTED_VALUE"""),45576.66666666667)</f>
        <v>45576.66667</v>
      </c>
      <c r="B9" s="1">
        <f>IFERROR(__xludf.DUMMYFUNCTION("""COMPUTED_VALUE"""),416.32)</f>
        <v>416.32</v>
      </c>
    </row>
    <row r="10">
      <c r="A10" s="3">
        <f>IFERROR(__xludf.DUMMYFUNCTION("""COMPUTED_VALUE"""),45583.66666666667)</f>
        <v>45583.66667</v>
      </c>
      <c r="B10" s="1">
        <f>IFERROR(__xludf.DUMMYFUNCTION("""COMPUTED_VALUE"""),418.16)</f>
        <v>418.16</v>
      </c>
    </row>
    <row r="11">
      <c r="A11" s="3">
        <f>IFERROR(__xludf.DUMMYFUNCTION("""COMPUTED_VALUE"""),45590.66666666667)</f>
        <v>45590.66667</v>
      </c>
      <c r="B11" s="1">
        <f>IFERROR(__xludf.DUMMYFUNCTION("""COMPUTED_VALUE"""),428.15)</f>
        <v>428.15</v>
      </c>
    </row>
    <row r="12">
      <c r="A12" s="3">
        <f>IFERROR(__xludf.DUMMYFUNCTION("""COMPUTED_VALUE"""),45597.66666666667)</f>
        <v>45597.66667</v>
      </c>
      <c r="B12" s="1">
        <f>IFERROR(__xludf.DUMMYFUNCTION("""COMPUTED_VALUE"""),410.37)</f>
        <v>410.37</v>
      </c>
    </row>
    <row r="13">
      <c r="A13" s="3">
        <f>IFERROR(__xludf.DUMMYFUNCTION("""COMPUTED_VALUE"""),45604.66666666667)</f>
        <v>45604.66667</v>
      </c>
      <c r="B13" s="1">
        <f>IFERROR(__xludf.DUMMYFUNCTION("""COMPUTED_VALUE"""),422.54)</f>
        <v>422.54</v>
      </c>
    </row>
    <row r="14">
      <c r="A14" s="3">
        <f>IFERROR(__xludf.DUMMYFUNCTION("""COMPUTED_VALUE"""),45611.66666666667)</f>
        <v>45611.66667</v>
      </c>
      <c r="B14" s="1">
        <f>IFERROR(__xludf.DUMMYFUNCTION("""COMPUTED_VALUE"""),415.0)</f>
        <v>415</v>
      </c>
    </row>
    <row r="15">
      <c r="A15" s="3">
        <f>IFERROR(__xludf.DUMMYFUNCTION("""COMPUTED_VALUE"""),45618.66666666667)</f>
        <v>45618.66667</v>
      </c>
      <c r="B15" s="1">
        <f>IFERROR(__xludf.DUMMYFUNCTION("""COMPUTED_VALUE"""),417.0)</f>
        <v>417</v>
      </c>
    </row>
    <row r="16">
      <c r="A16" s="3">
        <f>IFERROR(__xludf.DUMMYFUNCTION("""COMPUTED_VALUE"""),45625.54513888889)</f>
        <v>45625.54514</v>
      </c>
      <c r="B16" s="1">
        <f>IFERROR(__xludf.DUMMYFUNCTION("""COMPUTED_VALUE"""),423.46)</f>
        <v>423.46</v>
      </c>
    </row>
    <row r="17">
      <c r="A17" s="3">
        <f>IFERROR(__xludf.DUMMYFUNCTION("""COMPUTED_VALUE"""),45632.66666666667)</f>
        <v>45632.66667</v>
      </c>
      <c r="B17" s="1">
        <f>IFERROR(__xludf.DUMMYFUNCTION("""COMPUTED_VALUE"""),443.57)</f>
        <v>443.57</v>
      </c>
    </row>
    <row r="18">
      <c r="A18" s="3">
        <f>IFERROR(__xludf.DUMMYFUNCTION("""COMPUTED_VALUE"""),45639.66666666667)</f>
        <v>45639.66667</v>
      </c>
      <c r="B18" s="1">
        <f>IFERROR(__xludf.DUMMYFUNCTION("""COMPUTED_VALUE"""),447.27)</f>
        <v>447.27</v>
      </c>
    </row>
    <row r="19">
      <c r="A19" s="3">
        <f>IFERROR(__xludf.DUMMYFUNCTION("""COMPUTED_VALUE"""),45646.66666666667)</f>
        <v>45646.66667</v>
      </c>
      <c r="B19" s="1">
        <f>IFERROR(__xludf.DUMMYFUNCTION("""COMPUTED_VALUE"""),436.6)</f>
        <v>436.6</v>
      </c>
    </row>
    <row r="20">
      <c r="A20" s="3">
        <f>IFERROR(__xludf.DUMMYFUNCTION("""COMPUTED_VALUE"""),45653.66666666667)</f>
        <v>45653.66667</v>
      </c>
      <c r="B20" s="1">
        <f>IFERROR(__xludf.DUMMYFUNCTION("""COMPUTED_VALUE"""),430.53)</f>
        <v>430.53</v>
      </c>
    </row>
    <row r="21">
      <c r="A21" s="3">
        <f>IFERROR(__xludf.DUMMYFUNCTION("""COMPUTED_VALUE"""),45660.66666666667)</f>
        <v>45660.66667</v>
      </c>
      <c r="B21" s="1">
        <f>IFERROR(__xludf.DUMMYFUNCTION("""COMPUTED_VALUE"""),423.35)</f>
        <v>423.35</v>
      </c>
    </row>
    <row r="22">
      <c r="A22" s="3">
        <f>IFERROR(__xludf.DUMMYFUNCTION("""COMPUTED_VALUE"""),45667.66666666667)</f>
        <v>45667.66667</v>
      </c>
      <c r="B22" s="1">
        <f>IFERROR(__xludf.DUMMYFUNCTION("""COMPUTED_VALUE"""),418.95)</f>
        <v>418.95</v>
      </c>
    </row>
    <row r="23">
      <c r="A23" s="3">
        <f>IFERROR(__xludf.DUMMYFUNCTION("""COMPUTED_VALUE"""),45674.66666666667)</f>
        <v>45674.66667</v>
      </c>
      <c r="B23" s="1">
        <f>IFERROR(__xludf.DUMMYFUNCTION("""COMPUTED_VALUE"""),429.03)</f>
        <v>429.03</v>
      </c>
    </row>
    <row r="24">
      <c r="A24" s="3">
        <f>IFERROR(__xludf.DUMMYFUNCTION("""COMPUTED_VALUE"""),45681.66666666667)</f>
        <v>45681.66667</v>
      </c>
      <c r="B24" s="1">
        <f>IFERROR(__xludf.DUMMYFUNCTION("""COMPUTED_VALUE"""),444.06)</f>
        <v>444.06</v>
      </c>
    </row>
    <row r="25">
      <c r="A25" s="3">
        <f>IFERROR(__xludf.DUMMYFUNCTION("""COMPUTED_VALUE"""),45688.66666666667)</f>
        <v>45688.66667</v>
      </c>
      <c r="B25" s="1">
        <f>IFERROR(__xludf.DUMMYFUNCTION("""COMPUTED_VALUE"""),415.06)</f>
        <v>415.06</v>
      </c>
    </row>
    <row r="26">
      <c r="A26" s="3">
        <f>IFERROR(__xludf.DUMMYFUNCTION("""COMPUTED_VALUE"""),45695.66666666667)</f>
        <v>45695.66667</v>
      </c>
      <c r="B26" s="1">
        <f>IFERROR(__xludf.DUMMYFUNCTION("""COMPUTED_VALUE"""),409.75)</f>
        <v>409.75</v>
      </c>
    </row>
    <row r="27">
      <c r="A27" s="3">
        <f>IFERROR(__xludf.DUMMYFUNCTION("""COMPUTED_VALUE"""),45702.66666666667)</f>
        <v>45702.66667</v>
      </c>
      <c r="B27" s="1">
        <f>IFERROR(__xludf.DUMMYFUNCTION("""COMPUTED_VALUE"""),408.43)</f>
        <v>408.43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IFERROR(__xludf.DUMMYFUNCTION("GOOGLEFINANCE(""NASDAQ:AMZN"",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IFERROR(__xludf.DUMMYFUNCTION("""COMPUTED_VALUE"""),177.04)</f>
        <v>177.04</v>
      </c>
    </row>
    <row r="3">
      <c r="A3" s="3">
        <f>IFERROR(__xludf.DUMMYFUNCTION("""COMPUTED_VALUE"""),45534.66666666667)</f>
        <v>45534.66667</v>
      </c>
      <c r="B3" s="1">
        <f>IFERROR(__xludf.DUMMYFUNCTION("""COMPUTED_VALUE"""),178.5)</f>
        <v>178.5</v>
      </c>
    </row>
    <row r="4">
      <c r="A4" s="3">
        <f>IFERROR(__xludf.DUMMYFUNCTION("""COMPUTED_VALUE"""),45541.66666666667)</f>
        <v>45541.66667</v>
      </c>
      <c r="B4" s="1">
        <f>IFERROR(__xludf.DUMMYFUNCTION("""COMPUTED_VALUE"""),171.39)</f>
        <v>171.39</v>
      </c>
    </row>
    <row r="5">
      <c r="A5" s="3">
        <f>IFERROR(__xludf.DUMMYFUNCTION("""COMPUTED_VALUE"""),45548.66666666667)</f>
        <v>45548.66667</v>
      </c>
      <c r="B5" s="1">
        <f>IFERROR(__xludf.DUMMYFUNCTION("""COMPUTED_VALUE"""),186.49)</f>
        <v>186.49</v>
      </c>
    </row>
    <row r="6">
      <c r="A6" s="3">
        <f>IFERROR(__xludf.DUMMYFUNCTION("""COMPUTED_VALUE"""),45555.66666666667)</f>
        <v>45555.66667</v>
      </c>
      <c r="B6" s="1">
        <f>IFERROR(__xludf.DUMMYFUNCTION("""COMPUTED_VALUE"""),191.6)</f>
        <v>191.6</v>
      </c>
    </row>
    <row r="7">
      <c r="A7" s="3">
        <f>IFERROR(__xludf.DUMMYFUNCTION("""COMPUTED_VALUE"""),45562.66666666667)</f>
        <v>45562.66667</v>
      </c>
      <c r="B7" s="1">
        <f>IFERROR(__xludf.DUMMYFUNCTION("""COMPUTED_VALUE"""),187.97)</f>
        <v>187.97</v>
      </c>
    </row>
    <row r="8">
      <c r="A8" s="3">
        <f>IFERROR(__xludf.DUMMYFUNCTION("""COMPUTED_VALUE"""),45569.66666666667)</f>
        <v>45569.66667</v>
      </c>
      <c r="B8" s="1">
        <f>IFERROR(__xludf.DUMMYFUNCTION("""COMPUTED_VALUE"""),186.51)</f>
        <v>186.51</v>
      </c>
    </row>
    <row r="9">
      <c r="A9" s="3">
        <f>IFERROR(__xludf.DUMMYFUNCTION("""COMPUTED_VALUE"""),45576.66666666667)</f>
        <v>45576.66667</v>
      </c>
      <c r="B9" s="1">
        <f>IFERROR(__xludf.DUMMYFUNCTION("""COMPUTED_VALUE"""),188.82)</f>
        <v>188.82</v>
      </c>
    </row>
    <row r="10">
      <c r="A10" s="3">
        <f>IFERROR(__xludf.DUMMYFUNCTION("""COMPUTED_VALUE"""),45583.66666666667)</f>
        <v>45583.66667</v>
      </c>
      <c r="B10" s="1">
        <f>IFERROR(__xludf.DUMMYFUNCTION("""COMPUTED_VALUE"""),188.99)</f>
        <v>188.99</v>
      </c>
    </row>
    <row r="11">
      <c r="A11" s="3">
        <f>IFERROR(__xludf.DUMMYFUNCTION("""COMPUTED_VALUE"""),45590.66666666667)</f>
        <v>45590.66667</v>
      </c>
      <c r="B11" s="1">
        <f>IFERROR(__xludf.DUMMYFUNCTION("""COMPUTED_VALUE"""),187.83)</f>
        <v>187.83</v>
      </c>
    </row>
    <row r="12">
      <c r="A12" s="3">
        <f>IFERROR(__xludf.DUMMYFUNCTION("""COMPUTED_VALUE"""),45597.66666666667)</f>
        <v>45597.66667</v>
      </c>
      <c r="B12" s="1">
        <f>IFERROR(__xludf.DUMMYFUNCTION("""COMPUTED_VALUE"""),197.93)</f>
        <v>197.93</v>
      </c>
    </row>
    <row r="13">
      <c r="A13" s="3">
        <f>IFERROR(__xludf.DUMMYFUNCTION("""COMPUTED_VALUE"""),45604.66666666667)</f>
        <v>45604.66667</v>
      </c>
      <c r="B13" s="1">
        <f>IFERROR(__xludf.DUMMYFUNCTION("""COMPUTED_VALUE"""),208.18)</f>
        <v>208.18</v>
      </c>
    </row>
    <row r="14">
      <c r="A14" s="3">
        <f>IFERROR(__xludf.DUMMYFUNCTION("""COMPUTED_VALUE"""),45611.66666666667)</f>
        <v>45611.66667</v>
      </c>
      <c r="B14" s="1">
        <f>IFERROR(__xludf.DUMMYFUNCTION("""COMPUTED_VALUE"""),202.61)</f>
        <v>202.61</v>
      </c>
    </row>
    <row r="15">
      <c r="A15" s="3">
        <f>IFERROR(__xludf.DUMMYFUNCTION("""COMPUTED_VALUE"""),45618.66666666667)</f>
        <v>45618.66667</v>
      </c>
      <c r="B15" s="1">
        <f>IFERROR(__xludf.DUMMYFUNCTION("""COMPUTED_VALUE"""),197.12)</f>
        <v>197.12</v>
      </c>
    </row>
    <row r="16">
      <c r="A16" s="3">
        <f>IFERROR(__xludf.DUMMYFUNCTION("""COMPUTED_VALUE"""),45625.54513888889)</f>
        <v>45625.54514</v>
      </c>
      <c r="B16" s="1">
        <f>IFERROR(__xludf.DUMMYFUNCTION("""COMPUTED_VALUE"""),207.89)</f>
        <v>207.89</v>
      </c>
    </row>
    <row r="17">
      <c r="A17" s="3">
        <f>IFERROR(__xludf.DUMMYFUNCTION("""COMPUTED_VALUE"""),45632.66666666667)</f>
        <v>45632.66667</v>
      </c>
      <c r="B17" s="1">
        <f>IFERROR(__xludf.DUMMYFUNCTION("""COMPUTED_VALUE"""),227.03)</f>
        <v>227.03</v>
      </c>
    </row>
    <row r="18">
      <c r="A18" s="3">
        <f>IFERROR(__xludf.DUMMYFUNCTION("""COMPUTED_VALUE"""),45639.66666666667)</f>
        <v>45639.66667</v>
      </c>
      <c r="B18" s="1">
        <f>IFERROR(__xludf.DUMMYFUNCTION("""COMPUTED_VALUE"""),227.46)</f>
        <v>227.46</v>
      </c>
    </row>
    <row r="19">
      <c r="A19" s="3">
        <f>IFERROR(__xludf.DUMMYFUNCTION("""COMPUTED_VALUE"""),45646.66666666667)</f>
        <v>45646.66667</v>
      </c>
      <c r="B19" s="1">
        <f>IFERROR(__xludf.DUMMYFUNCTION("""COMPUTED_VALUE"""),224.92)</f>
        <v>224.92</v>
      </c>
    </row>
    <row r="20">
      <c r="A20" s="3">
        <f>IFERROR(__xludf.DUMMYFUNCTION("""COMPUTED_VALUE"""),45653.66666666667)</f>
        <v>45653.66667</v>
      </c>
      <c r="B20" s="1">
        <f>IFERROR(__xludf.DUMMYFUNCTION("""COMPUTED_VALUE"""),223.75)</f>
        <v>223.75</v>
      </c>
    </row>
    <row r="21">
      <c r="A21" s="3">
        <f>IFERROR(__xludf.DUMMYFUNCTION("""COMPUTED_VALUE"""),45660.66666666667)</f>
        <v>45660.66667</v>
      </c>
      <c r="B21" s="1">
        <f>IFERROR(__xludf.DUMMYFUNCTION("""COMPUTED_VALUE"""),224.19)</f>
        <v>224.19</v>
      </c>
    </row>
    <row r="22">
      <c r="A22" s="3">
        <f>IFERROR(__xludf.DUMMYFUNCTION("""COMPUTED_VALUE"""),45667.66666666667)</f>
        <v>45667.66667</v>
      </c>
      <c r="B22" s="1">
        <f>IFERROR(__xludf.DUMMYFUNCTION("""COMPUTED_VALUE"""),218.94)</f>
        <v>218.94</v>
      </c>
    </row>
    <row r="23">
      <c r="A23" s="3">
        <f>IFERROR(__xludf.DUMMYFUNCTION("""COMPUTED_VALUE"""),45674.66666666667)</f>
        <v>45674.66667</v>
      </c>
      <c r="B23" s="1">
        <f>IFERROR(__xludf.DUMMYFUNCTION("""COMPUTED_VALUE"""),225.94)</f>
        <v>225.94</v>
      </c>
    </row>
    <row r="24">
      <c r="A24" s="3">
        <f>IFERROR(__xludf.DUMMYFUNCTION("""COMPUTED_VALUE"""),45681.66666666667)</f>
        <v>45681.66667</v>
      </c>
      <c r="B24" s="1">
        <f>IFERROR(__xludf.DUMMYFUNCTION("""COMPUTED_VALUE"""),234.85)</f>
        <v>234.85</v>
      </c>
    </row>
    <row r="25">
      <c r="A25" s="3">
        <f>IFERROR(__xludf.DUMMYFUNCTION("""COMPUTED_VALUE"""),45688.66666666667)</f>
        <v>45688.66667</v>
      </c>
      <c r="B25" s="1">
        <f>IFERROR(__xludf.DUMMYFUNCTION("""COMPUTED_VALUE"""),237.68)</f>
        <v>237.68</v>
      </c>
    </row>
    <row r="26">
      <c r="A26" s="3">
        <f>IFERROR(__xludf.DUMMYFUNCTION("""COMPUTED_VALUE"""),45695.66666666667)</f>
        <v>45695.66667</v>
      </c>
      <c r="B26" s="1">
        <f>IFERROR(__xludf.DUMMYFUNCTION("""COMPUTED_VALUE"""),229.15)</f>
        <v>229.15</v>
      </c>
    </row>
    <row r="27">
      <c r="A27" s="3">
        <f>IFERROR(__xludf.DUMMYFUNCTION("""COMPUTED_VALUE"""),45702.66666666667)</f>
        <v>45702.66667</v>
      </c>
      <c r="B27" s="1">
        <f>IFERROR(__xludf.DUMMYFUNCTION("""COMPUTED_VALUE"""),228.68)</f>
        <v>228.68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IFERROR(__xludf.DUMMYFUNCTION("GOOGLEFINANCE(""NASDAQ:NVDA"",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IFERROR(__xludf.DUMMYFUNCTION("""COMPUTED_VALUE"""),129.37)</f>
        <v>129.37</v>
      </c>
    </row>
    <row r="3">
      <c r="A3" s="3">
        <f>IFERROR(__xludf.DUMMYFUNCTION("""COMPUTED_VALUE"""),45534.66666666667)</f>
        <v>45534.66667</v>
      </c>
      <c r="B3" s="1">
        <f>IFERROR(__xludf.DUMMYFUNCTION("""COMPUTED_VALUE"""),119.37)</f>
        <v>119.37</v>
      </c>
    </row>
    <row r="4">
      <c r="A4" s="3">
        <f>IFERROR(__xludf.DUMMYFUNCTION("""COMPUTED_VALUE"""),45541.66666666667)</f>
        <v>45541.66667</v>
      </c>
      <c r="B4" s="1">
        <f>IFERROR(__xludf.DUMMYFUNCTION("""COMPUTED_VALUE"""),102.83)</f>
        <v>102.83</v>
      </c>
    </row>
    <row r="5">
      <c r="A5" s="3">
        <f>IFERROR(__xludf.DUMMYFUNCTION("""COMPUTED_VALUE"""),45548.66666666667)</f>
        <v>45548.66667</v>
      </c>
      <c r="B5" s="1">
        <f>IFERROR(__xludf.DUMMYFUNCTION("""COMPUTED_VALUE"""),119.1)</f>
        <v>119.1</v>
      </c>
    </row>
    <row r="6">
      <c r="A6" s="3">
        <f>IFERROR(__xludf.DUMMYFUNCTION("""COMPUTED_VALUE"""),45555.66666666667)</f>
        <v>45555.66667</v>
      </c>
      <c r="B6" s="1">
        <f>IFERROR(__xludf.DUMMYFUNCTION("""COMPUTED_VALUE"""),116.0)</f>
        <v>116</v>
      </c>
    </row>
    <row r="7">
      <c r="A7" s="3">
        <f>IFERROR(__xludf.DUMMYFUNCTION("""COMPUTED_VALUE"""),45562.66666666667)</f>
        <v>45562.66667</v>
      </c>
      <c r="B7" s="1">
        <f>IFERROR(__xludf.DUMMYFUNCTION("""COMPUTED_VALUE"""),121.4)</f>
        <v>121.4</v>
      </c>
    </row>
    <row r="8">
      <c r="A8" s="3">
        <f>IFERROR(__xludf.DUMMYFUNCTION("""COMPUTED_VALUE"""),45569.66666666667)</f>
        <v>45569.66667</v>
      </c>
      <c r="B8" s="1">
        <f>IFERROR(__xludf.DUMMYFUNCTION("""COMPUTED_VALUE"""),124.92)</f>
        <v>124.92</v>
      </c>
    </row>
    <row r="9">
      <c r="A9" s="3">
        <f>IFERROR(__xludf.DUMMYFUNCTION("""COMPUTED_VALUE"""),45576.66666666667)</f>
        <v>45576.66667</v>
      </c>
      <c r="B9" s="1">
        <f>IFERROR(__xludf.DUMMYFUNCTION("""COMPUTED_VALUE"""),134.8)</f>
        <v>134.8</v>
      </c>
    </row>
    <row r="10">
      <c r="A10" s="3">
        <f>IFERROR(__xludf.DUMMYFUNCTION("""COMPUTED_VALUE"""),45583.66666666667)</f>
        <v>45583.66667</v>
      </c>
      <c r="B10" s="1">
        <f>IFERROR(__xludf.DUMMYFUNCTION("""COMPUTED_VALUE"""),138.0)</f>
        <v>138</v>
      </c>
    </row>
    <row r="11">
      <c r="A11" s="3">
        <f>IFERROR(__xludf.DUMMYFUNCTION("""COMPUTED_VALUE"""),45590.66666666667)</f>
        <v>45590.66667</v>
      </c>
      <c r="B11" s="1">
        <f>IFERROR(__xludf.DUMMYFUNCTION("""COMPUTED_VALUE"""),141.54)</f>
        <v>141.54</v>
      </c>
    </row>
    <row r="12">
      <c r="A12" s="3">
        <f>IFERROR(__xludf.DUMMYFUNCTION("""COMPUTED_VALUE"""),45597.66666666667)</f>
        <v>45597.66667</v>
      </c>
      <c r="B12" s="1">
        <f>IFERROR(__xludf.DUMMYFUNCTION("""COMPUTED_VALUE"""),135.4)</f>
        <v>135.4</v>
      </c>
    </row>
    <row r="13">
      <c r="A13" s="3">
        <f>IFERROR(__xludf.DUMMYFUNCTION("""COMPUTED_VALUE"""),45604.66666666667)</f>
        <v>45604.66667</v>
      </c>
      <c r="B13" s="1">
        <f>IFERROR(__xludf.DUMMYFUNCTION("""COMPUTED_VALUE"""),147.63)</f>
        <v>147.63</v>
      </c>
    </row>
    <row r="14">
      <c r="A14" s="3">
        <f>IFERROR(__xludf.DUMMYFUNCTION("""COMPUTED_VALUE"""),45611.66666666667)</f>
        <v>45611.66667</v>
      </c>
      <c r="B14" s="1">
        <f>IFERROR(__xludf.DUMMYFUNCTION("""COMPUTED_VALUE"""),141.98)</f>
        <v>141.98</v>
      </c>
    </row>
    <row r="15">
      <c r="A15" s="3">
        <f>IFERROR(__xludf.DUMMYFUNCTION("""COMPUTED_VALUE"""),45618.66666666667)</f>
        <v>45618.66667</v>
      </c>
      <c r="B15" s="1">
        <f>IFERROR(__xludf.DUMMYFUNCTION("""COMPUTED_VALUE"""),141.95)</f>
        <v>141.95</v>
      </c>
    </row>
    <row r="16">
      <c r="A16" s="3">
        <f>IFERROR(__xludf.DUMMYFUNCTION("""COMPUTED_VALUE"""),45625.54513888889)</f>
        <v>45625.54514</v>
      </c>
      <c r="B16" s="1">
        <f>IFERROR(__xludf.DUMMYFUNCTION("""COMPUTED_VALUE"""),138.25)</f>
        <v>138.25</v>
      </c>
    </row>
    <row r="17">
      <c r="A17" s="3">
        <f>IFERROR(__xludf.DUMMYFUNCTION("""COMPUTED_VALUE"""),45632.66666666667)</f>
        <v>45632.66667</v>
      </c>
      <c r="B17" s="1">
        <f>IFERROR(__xludf.DUMMYFUNCTION("""COMPUTED_VALUE"""),142.44)</f>
        <v>142.44</v>
      </c>
    </row>
    <row r="18">
      <c r="A18" s="3">
        <f>IFERROR(__xludf.DUMMYFUNCTION("""COMPUTED_VALUE"""),45639.66666666667)</f>
        <v>45639.66667</v>
      </c>
      <c r="B18" s="1">
        <f>IFERROR(__xludf.DUMMYFUNCTION("""COMPUTED_VALUE"""),134.25)</f>
        <v>134.25</v>
      </c>
    </row>
    <row r="19">
      <c r="A19" s="3">
        <f>IFERROR(__xludf.DUMMYFUNCTION("""COMPUTED_VALUE"""),45646.66666666667)</f>
        <v>45646.66667</v>
      </c>
      <c r="B19" s="1">
        <f>IFERROR(__xludf.DUMMYFUNCTION("""COMPUTED_VALUE"""),134.7)</f>
        <v>134.7</v>
      </c>
    </row>
    <row r="20">
      <c r="A20" s="3">
        <f>IFERROR(__xludf.DUMMYFUNCTION("""COMPUTED_VALUE"""),45653.66666666667)</f>
        <v>45653.66667</v>
      </c>
      <c r="B20" s="1">
        <f>IFERROR(__xludf.DUMMYFUNCTION("""COMPUTED_VALUE"""),137.01)</f>
        <v>137.01</v>
      </c>
    </row>
    <row r="21">
      <c r="A21" s="3">
        <f>IFERROR(__xludf.DUMMYFUNCTION("""COMPUTED_VALUE"""),45660.66666666667)</f>
        <v>45660.66667</v>
      </c>
      <c r="B21" s="1">
        <f>IFERROR(__xludf.DUMMYFUNCTION("""COMPUTED_VALUE"""),144.47)</f>
        <v>144.47</v>
      </c>
    </row>
    <row r="22">
      <c r="A22" s="3">
        <f>IFERROR(__xludf.DUMMYFUNCTION("""COMPUTED_VALUE"""),45667.66666666667)</f>
        <v>45667.66667</v>
      </c>
      <c r="B22" s="1">
        <f>IFERROR(__xludf.DUMMYFUNCTION("""COMPUTED_VALUE"""),135.91)</f>
        <v>135.91</v>
      </c>
    </row>
    <row r="23">
      <c r="A23" s="3">
        <f>IFERROR(__xludf.DUMMYFUNCTION("""COMPUTED_VALUE"""),45674.66666666667)</f>
        <v>45674.66667</v>
      </c>
      <c r="B23" s="1">
        <f>IFERROR(__xludf.DUMMYFUNCTION("""COMPUTED_VALUE"""),137.71)</f>
        <v>137.71</v>
      </c>
    </row>
    <row r="24">
      <c r="A24" s="3">
        <f>IFERROR(__xludf.DUMMYFUNCTION("""COMPUTED_VALUE"""),45681.66666666667)</f>
        <v>45681.66667</v>
      </c>
      <c r="B24" s="1">
        <f>IFERROR(__xludf.DUMMYFUNCTION("""COMPUTED_VALUE"""),142.62)</f>
        <v>142.62</v>
      </c>
    </row>
    <row r="25">
      <c r="A25" s="3">
        <f>IFERROR(__xludf.DUMMYFUNCTION("""COMPUTED_VALUE"""),45688.66666666667)</f>
        <v>45688.66667</v>
      </c>
      <c r="B25" s="1">
        <f>IFERROR(__xludf.DUMMYFUNCTION("""COMPUTED_VALUE"""),120.07)</f>
        <v>120.07</v>
      </c>
    </row>
    <row r="26">
      <c r="A26" s="3">
        <f>IFERROR(__xludf.DUMMYFUNCTION("""COMPUTED_VALUE"""),45695.66666666667)</f>
        <v>45695.66667</v>
      </c>
      <c r="B26" s="1">
        <f>IFERROR(__xludf.DUMMYFUNCTION("""COMPUTED_VALUE"""),129.84)</f>
        <v>129.84</v>
      </c>
    </row>
    <row r="27">
      <c r="A27" s="3">
        <f>IFERROR(__xludf.DUMMYFUNCTION("""COMPUTED_VALUE"""),45702.66666666667)</f>
        <v>45702.66667</v>
      </c>
      <c r="B27" s="1">
        <f>IFERROR(__xludf.DUMMYFUNCTION("""COMPUTED_VALUE"""),138.85)</f>
        <v>138.85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IFERROR(__xludf.DUMMYFUNCTION("GOOGLEFINANCE(""NASDAQ:GOOGL"",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IFERROR(__xludf.DUMMYFUNCTION("""COMPUTED_VALUE"""),165.62)</f>
        <v>165.62</v>
      </c>
    </row>
    <row r="3">
      <c r="A3" s="3">
        <f>IFERROR(__xludf.DUMMYFUNCTION("""COMPUTED_VALUE"""),45534.66666666667)</f>
        <v>45534.66667</v>
      </c>
      <c r="B3" s="1">
        <f>IFERROR(__xludf.DUMMYFUNCTION("""COMPUTED_VALUE"""),163.38)</f>
        <v>163.38</v>
      </c>
    </row>
    <row r="4">
      <c r="A4" s="3">
        <f>IFERROR(__xludf.DUMMYFUNCTION("""COMPUTED_VALUE"""),45541.66666666667)</f>
        <v>45541.66667</v>
      </c>
      <c r="B4" s="1">
        <f>IFERROR(__xludf.DUMMYFUNCTION("""COMPUTED_VALUE"""),150.92)</f>
        <v>150.92</v>
      </c>
    </row>
    <row r="5">
      <c r="A5" s="3">
        <f>IFERROR(__xludf.DUMMYFUNCTION("""COMPUTED_VALUE"""),45548.66666666667)</f>
        <v>45548.66667</v>
      </c>
      <c r="B5" s="1">
        <f>IFERROR(__xludf.DUMMYFUNCTION("""COMPUTED_VALUE"""),157.46)</f>
        <v>157.46</v>
      </c>
    </row>
    <row r="6">
      <c r="A6" s="3">
        <f>IFERROR(__xludf.DUMMYFUNCTION("""COMPUTED_VALUE"""),45555.66666666667)</f>
        <v>45555.66667</v>
      </c>
      <c r="B6" s="1">
        <f>IFERROR(__xludf.DUMMYFUNCTION("""COMPUTED_VALUE"""),163.59)</f>
        <v>163.59</v>
      </c>
    </row>
    <row r="7">
      <c r="A7" s="3">
        <f>IFERROR(__xludf.DUMMYFUNCTION("""COMPUTED_VALUE"""),45562.66666666667)</f>
        <v>45562.66667</v>
      </c>
      <c r="B7" s="1">
        <f>IFERROR(__xludf.DUMMYFUNCTION("""COMPUTED_VALUE"""),163.95)</f>
        <v>163.95</v>
      </c>
    </row>
    <row r="8">
      <c r="A8" s="3">
        <f>IFERROR(__xludf.DUMMYFUNCTION("""COMPUTED_VALUE"""),45569.66666666667)</f>
        <v>45569.66667</v>
      </c>
      <c r="B8" s="1">
        <f>IFERROR(__xludf.DUMMYFUNCTION("""COMPUTED_VALUE"""),167.06)</f>
        <v>167.06</v>
      </c>
    </row>
    <row r="9">
      <c r="A9" s="3">
        <f>IFERROR(__xludf.DUMMYFUNCTION("""COMPUTED_VALUE"""),45576.66666666667)</f>
        <v>45576.66667</v>
      </c>
      <c r="B9" s="1">
        <f>IFERROR(__xludf.DUMMYFUNCTION("""COMPUTED_VALUE"""),163.24)</f>
        <v>163.24</v>
      </c>
    </row>
    <row r="10">
      <c r="A10" s="3">
        <f>IFERROR(__xludf.DUMMYFUNCTION("""COMPUTED_VALUE"""),45583.66666666667)</f>
        <v>45583.66667</v>
      </c>
      <c r="B10" s="1">
        <f>IFERROR(__xludf.DUMMYFUNCTION("""COMPUTED_VALUE"""),163.42)</f>
        <v>163.42</v>
      </c>
    </row>
    <row r="11">
      <c r="A11" s="3">
        <f>IFERROR(__xludf.DUMMYFUNCTION("""COMPUTED_VALUE"""),45590.66666666667)</f>
        <v>45590.66667</v>
      </c>
      <c r="B11" s="1">
        <f>IFERROR(__xludf.DUMMYFUNCTION("""COMPUTED_VALUE"""),165.27)</f>
        <v>165.27</v>
      </c>
    </row>
    <row r="12">
      <c r="A12" s="3">
        <f>IFERROR(__xludf.DUMMYFUNCTION("""COMPUTED_VALUE"""),45597.66666666667)</f>
        <v>45597.66667</v>
      </c>
      <c r="B12" s="1">
        <f>IFERROR(__xludf.DUMMYFUNCTION("""COMPUTED_VALUE"""),171.29)</f>
        <v>171.29</v>
      </c>
    </row>
    <row r="13">
      <c r="A13" s="3">
        <f>IFERROR(__xludf.DUMMYFUNCTION("""COMPUTED_VALUE"""),45604.66666666667)</f>
        <v>45604.66667</v>
      </c>
      <c r="B13" s="1">
        <f>IFERROR(__xludf.DUMMYFUNCTION("""COMPUTED_VALUE"""),178.35)</f>
        <v>178.35</v>
      </c>
    </row>
    <row r="14">
      <c r="A14" s="3">
        <f>IFERROR(__xludf.DUMMYFUNCTION("""COMPUTED_VALUE"""),45611.66666666667)</f>
        <v>45611.66667</v>
      </c>
      <c r="B14" s="1">
        <f>IFERROR(__xludf.DUMMYFUNCTION("""COMPUTED_VALUE"""),172.49)</f>
        <v>172.49</v>
      </c>
    </row>
    <row r="15">
      <c r="A15" s="3">
        <f>IFERROR(__xludf.DUMMYFUNCTION("""COMPUTED_VALUE"""),45618.66666666667)</f>
        <v>45618.66667</v>
      </c>
      <c r="B15" s="1">
        <f>IFERROR(__xludf.DUMMYFUNCTION("""COMPUTED_VALUE"""),164.76)</f>
        <v>164.76</v>
      </c>
    </row>
    <row r="16">
      <c r="A16" s="3">
        <f>IFERROR(__xludf.DUMMYFUNCTION("""COMPUTED_VALUE"""),45625.54513888889)</f>
        <v>45625.54514</v>
      </c>
      <c r="B16" s="1">
        <f>IFERROR(__xludf.DUMMYFUNCTION("""COMPUTED_VALUE"""),168.95)</f>
        <v>168.95</v>
      </c>
    </row>
    <row r="17">
      <c r="A17" s="3">
        <f>IFERROR(__xludf.DUMMYFUNCTION("""COMPUTED_VALUE"""),45632.66666666667)</f>
        <v>45632.66667</v>
      </c>
      <c r="B17" s="1">
        <f>IFERROR(__xludf.DUMMYFUNCTION("""COMPUTED_VALUE"""),174.71)</f>
        <v>174.71</v>
      </c>
    </row>
    <row r="18">
      <c r="A18" s="3">
        <f>IFERROR(__xludf.DUMMYFUNCTION("""COMPUTED_VALUE"""),45639.66666666667)</f>
        <v>45639.66667</v>
      </c>
      <c r="B18" s="1">
        <f>IFERROR(__xludf.DUMMYFUNCTION("""COMPUTED_VALUE"""),189.82)</f>
        <v>189.82</v>
      </c>
    </row>
    <row r="19">
      <c r="A19" s="3">
        <f>IFERROR(__xludf.DUMMYFUNCTION("""COMPUTED_VALUE"""),45646.66666666667)</f>
        <v>45646.66667</v>
      </c>
      <c r="B19" s="1">
        <f>IFERROR(__xludf.DUMMYFUNCTION("""COMPUTED_VALUE"""),191.41)</f>
        <v>191.41</v>
      </c>
    </row>
    <row r="20">
      <c r="A20" s="3">
        <f>IFERROR(__xludf.DUMMYFUNCTION("""COMPUTED_VALUE"""),45653.66666666667)</f>
        <v>45653.66667</v>
      </c>
      <c r="B20" s="1">
        <f>IFERROR(__xludf.DUMMYFUNCTION("""COMPUTED_VALUE"""),192.76)</f>
        <v>192.76</v>
      </c>
    </row>
    <row r="21">
      <c r="A21" s="3">
        <f>IFERROR(__xludf.DUMMYFUNCTION("""COMPUTED_VALUE"""),45660.66666666667)</f>
        <v>45660.66667</v>
      </c>
      <c r="B21" s="1">
        <f>IFERROR(__xludf.DUMMYFUNCTION("""COMPUTED_VALUE"""),191.79)</f>
        <v>191.79</v>
      </c>
    </row>
    <row r="22">
      <c r="A22" s="3">
        <f>IFERROR(__xludf.DUMMYFUNCTION("""COMPUTED_VALUE"""),45667.66666666667)</f>
        <v>45667.66667</v>
      </c>
      <c r="B22" s="1">
        <f>IFERROR(__xludf.DUMMYFUNCTION("""COMPUTED_VALUE"""),192.04)</f>
        <v>192.04</v>
      </c>
    </row>
    <row r="23">
      <c r="A23" s="3">
        <f>IFERROR(__xludf.DUMMYFUNCTION("""COMPUTED_VALUE"""),45674.66666666667)</f>
        <v>45674.66667</v>
      </c>
      <c r="B23" s="1">
        <f>IFERROR(__xludf.DUMMYFUNCTION("""COMPUTED_VALUE"""),196.0)</f>
        <v>196</v>
      </c>
    </row>
    <row r="24">
      <c r="A24" s="3">
        <f>IFERROR(__xludf.DUMMYFUNCTION("""COMPUTED_VALUE"""),45681.66666666667)</f>
        <v>45681.66667</v>
      </c>
      <c r="B24" s="1">
        <f>IFERROR(__xludf.DUMMYFUNCTION("""COMPUTED_VALUE"""),200.21)</f>
        <v>200.21</v>
      </c>
    </row>
    <row r="25">
      <c r="A25" s="3">
        <f>IFERROR(__xludf.DUMMYFUNCTION("""COMPUTED_VALUE"""),45688.66666666667)</f>
        <v>45688.66667</v>
      </c>
      <c r="B25" s="1">
        <f>IFERROR(__xludf.DUMMYFUNCTION("""COMPUTED_VALUE"""),204.02)</f>
        <v>204.02</v>
      </c>
    </row>
    <row r="26">
      <c r="A26" s="3">
        <f>IFERROR(__xludf.DUMMYFUNCTION("""COMPUTED_VALUE"""),45695.66666666667)</f>
        <v>45695.66667</v>
      </c>
      <c r="B26" s="1">
        <f>IFERROR(__xludf.DUMMYFUNCTION("""COMPUTED_VALUE"""),185.34)</f>
        <v>185.34</v>
      </c>
    </row>
    <row r="27">
      <c r="A27" s="3">
        <f>IFERROR(__xludf.DUMMYFUNCTION("""COMPUTED_VALUE"""),45702.66666666667)</f>
        <v>45702.66667</v>
      </c>
      <c r="B27" s="1">
        <f>IFERROR(__xludf.DUMMYFUNCTION("""COMPUTED_VALUE"""),185.23)</f>
        <v>185.23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IFERROR(__xludf.DUMMYFUNCTION("GOOGLEFINANCE(""NASDAQ:TSLA"",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IFERROR(__xludf.DUMMYFUNCTION("""COMPUTED_VALUE"""),220.32)</f>
        <v>220.32</v>
      </c>
    </row>
    <row r="3">
      <c r="A3" s="3">
        <f>IFERROR(__xludf.DUMMYFUNCTION("""COMPUTED_VALUE"""),45534.66666666667)</f>
        <v>45534.66667</v>
      </c>
      <c r="B3" s="1">
        <f>IFERROR(__xludf.DUMMYFUNCTION("""COMPUTED_VALUE"""),214.11)</f>
        <v>214.11</v>
      </c>
    </row>
    <row r="4">
      <c r="A4" s="3">
        <f>IFERROR(__xludf.DUMMYFUNCTION("""COMPUTED_VALUE"""),45541.66666666667)</f>
        <v>45541.66667</v>
      </c>
      <c r="B4" s="1">
        <f>IFERROR(__xludf.DUMMYFUNCTION("""COMPUTED_VALUE"""),210.73)</f>
        <v>210.73</v>
      </c>
    </row>
    <row r="5">
      <c r="A5" s="3">
        <f>IFERROR(__xludf.DUMMYFUNCTION("""COMPUTED_VALUE"""),45548.66666666667)</f>
        <v>45548.66667</v>
      </c>
      <c r="B5" s="1">
        <f>IFERROR(__xludf.DUMMYFUNCTION("""COMPUTED_VALUE"""),230.29)</f>
        <v>230.29</v>
      </c>
    </row>
    <row r="6">
      <c r="A6" s="3">
        <f>IFERROR(__xludf.DUMMYFUNCTION("""COMPUTED_VALUE"""),45555.66666666667)</f>
        <v>45555.66667</v>
      </c>
      <c r="B6" s="1">
        <f>IFERROR(__xludf.DUMMYFUNCTION("""COMPUTED_VALUE"""),238.25)</f>
        <v>238.25</v>
      </c>
    </row>
    <row r="7">
      <c r="A7" s="3">
        <f>IFERROR(__xludf.DUMMYFUNCTION("""COMPUTED_VALUE"""),45562.66666666667)</f>
        <v>45562.66667</v>
      </c>
      <c r="B7" s="1">
        <f>IFERROR(__xludf.DUMMYFUNCTION("""COMPUTED_VALUE"""),260.46)</f>
        <v>260.46</v>
      </c>
    </row>
    <row r="8">
      <c r="A8" s="3">
        <f>IFERROR(__xludf.DUMMYFUNCTION("""COMPUTED_VALUE"""),45569.66666666667)</f>
        <v>45569.66667</v>
      </c>
      <c r="B8" s="1">
        <f>IFERROR(__xludf.DUMMYFUNCTION("""COMPUTED_VALUE"""),250.08)</f>
        <v>250.08</v>
      </c>
    </row>
    <row r="9">
      <c r="A9" s="3">
        <f>IFERROR(__xludf.DUMMYFUNCTION("""COMPUTED_VALUE"""),45576.66666666667)</f>
        <v>45576.66667</v>
      </c>
      <c r="B9" s="1">
        <f>IFERROR(__xludf.DUMMYFUNCTION("""COMPUTED_VALUE"""),217.8)</f>
        <v>217.8</v>
      </c>
    </row>
    <row r="10">
      <c r="A10" s="3">
        <f>IFERROR(__xludf.DUMMYFUNCTION("""COMPUTED_VALUE"""),45583.66666666667)</f>
        <v>45583.66667</v>
      </c>
      <c r="B10" s="1">
        <f>IFERROR(__xludf.DUMMYFUNCTION("""COMPUTED_VALUE"""),220.7)</f>
        <v>220.7</v>
      </c>
    </row>
    <row r="11">
      <c r="A11" s="3">
        <f>IFERROR(__xludf.DUMMYFUNCTION("""COMPUTED_VALUE"""),45590.66666666667)</f>
        <v>45590.66667</v>
      </c>
      <c r="B11" s="1">
        <f>IFERROR(__xludf.DUMMYFUNCTION("""COMPUTED_VALUE"""),269.19)</f>
        <v>269.19</v>
      </c>
    </row>
    <row r="12">
      <c r="A12" s="3">
        <f>IFERROR(__xludf.DUMMYFUNCTION("""COMPUTED_VALUE"""),45597.66666666667)</f>
        <v>45597.66667</v>
      </c>
      <c r="B12" s="1">
        <f>IFERROR(__xludf.DUMMYFUNCTION("""COMPUTED_VALUE"""),248.98)</f>
        <v>248.98</v>
      </c>
    </row>
    <row r="13">
      <c r="A13" s="3">
        <f>IFERROR(__xludf.DUMMYFUNCTION("""COMPUTED_VALUE"""),45604.66666666667)</f>
        <v>45604.66667</v>
      </c>
      <c r="B13" s="1">
        <f>IFERROR(__xludf.DUMMYFUNCTION("""COMPUTED_VALUE"""),321.22)</f>
        <v>321.22</v>
      </c>
    </row>
    <row r="14">
      <c r="A14" s="3">
        <f>IFERROR(__xludf.DUMMYFUNCTION("""COMPUTED_VALUE"""),45611.66666666667)</f>
        <v>45611.66667</v>
      </c>
      <c r="B14" s="1">
        <f>IFERROR(__xludf.DUMMYFUNCTION("""COMPUTED_VALUE"""),320.72)</f>
        <v>320.72</v>
      </c>
    </row>
    <row r="15">
      <c r="A15" s="3">
        <f>IFERROR(__xludf.DUMMYFUNCTION("""COMPUTED_VALUE"""),45618.66666666667)</f>
        <v>45618.66667</v>
      </c>
      <c r="B15" s="1">
        <f>IFERROR(__xludf.DUMMYFUNCTION("""COMPUTED_VALUE"""),352.56)</f>
        <v>352.56</v>
      </c>
    </row>
    <row r="16">
      <c r="A16" s="3">
        <f>IFERROR(__xludf.DUMMYFUNCTION("""COMPUTED_VALUE"""),45625.54513888889)</f>
        <v>45625.54514</v>
      </c>
      <c r="B16" s="1">
        <f>IFERROR(__xludf.DUMMYFUNCTION("""COMPUTED_VALUE"""),345.16)</f>
        <v>345.16</v>
      </c>
    </row>
    <row r="17">
      <c r="A17" s="3">
        <f>IFERROR(__xludf.DUMMYFUNCTION("""COMPUTED_VALUE"""),45632.66666666667)</f>
        <v>45632.66667</v>
      </c>
      <c r="B17" s="1">
        <f>IFERROR(__xludf.DUMMYFUNCTION("""COMPUTED_VALUE"""),389.22)</f>
        <v>389.22</v>
      </c>
    </row>
    <row r="18">
      <c r="A18" s="3">
        <f>IFERROR(__xludf.DUMMYFUNCTION("""COMPUTED_VALUE"""),45639.66666666667)</f>
        <v>45639.66667</v>
      </c>
      <c r="B18" s="1">
        <f>IFERROR(__xludf.DUMMYFUNCTION("""COMPUTED_VALUE"""),436.23)</f>
        <v>436.23</v>
      </c>
    </row>
    <row r="19">
      <c r="A19" s="3">
        <f>IFERROR(__xludf.DUMMYFUNCTION("""COMPUTED_VALUE"""),45646.66666666667)</f>
        <v>45646.66667</v>
      </c>
      <c r="B19" s="1">
        <f>IFERROR(__xludf.DUMMYFUNCTION("""COMPUTED_VALUE"""),421.06)</f>
        <v>421.06</v>
      </c>
    </row>
    <row r="20">
      <c r="A20" s="3">
        <f>IFERROR(__xludf.DUMMYFUNCTION("""COMPUTED_VALUE"""),45653.66666666667)</f>
        <v>45653.66667</v>
      </c>
      <c r="B20" s="1">
        <f>IFERROR(__xludf.DUMMYFUNCTION("""COMPUTED_VALUE"""),431.66)</f>
        <v>431.66</v>
      </c>
    </row>
    <row r="21">
      <c r="A21" s="3">
        <f>IFERROR(__xludf.DUMMYFUNCTION("""COMPUTED_VALUE"""),45660.66666666667)</f>
        <v>45660.66667</v>
      </c>
      <c r="B21" s="1">
        <f>IFERROR(__xludf.DUMMYFUNCTION("""COMPUTED_VALUE"""),410.44)</f>
        <v>410.44</v>
      </c>
    </row>
    <row r="22">
      <c r="A22" s="3">
        <f>IFERROR(__xludf.DUMMYFUNCTION("""COMPUTED_VALUE"""),45667.66666666667)</f>
        <v>45667.66667</v>
      </c>
      <c r="B22" s="1">
        <f>IFERROR(__xludf.DUMMYFUNCTION("""COMPUTED_VALUE"""),394.74)</f>
        <v>394.74</v>
      </c>
    </row>
    <row r="23">
      <c r="A23" s="3">
        <f>IFERROR(__xludf.DUMMYFUNCTION("""COMPUTED_VALUE"""),45674.66666666667)</f>
        <v>45674.66667</v>
      </c>
      <c r="B23" s="1">
        <f>IFERROR(__xludf.DUMMYFUNCTION("""COMPUTED_VALUE"""),426.5)</f>
        <v>426.5</v>
      </c>
    </row>
    <row r="24">
      <c r="A24" s="3">
        <f>IFERROR(__xludf.DUMMYFUNCTION("""COMPUTED_VALUE"""),45681.66666666667)</f>
        <v>45681.66667</v>
      </c>
      <c r="B24" s="1">
        <f>IFERROR(__xludf.DUMMYFUNCTION("""COMPUTED_VALUE"""),406.58)</f>
        <v>406.58</v>
      </c>
    </row>
    <row r="25">
      <c r="A25" s="3">
        <f>IFERROR(__xludf.DUMMYFUNCTION("""COMPUTED_VALUE"""),45688.66666666667)</f>
        <v>45688.66667</v>
      </c>
      <c r="B25" s="1">
        <f>IFERROR(__xludf.DUMMYFUNCTION("""COMPUTED_VALUE"""),404.6)</f>
        <v>404.6</v>
      </c>
    </row>
    <row r="26">
      <c r="A26" s="3">
        <f>IFERROR(__xludf.DUMMYFUNCTION("""COMPUTED_VALUE"""),45695.66666666667)</f>
        <v>45695.66667</v>
      </c>
      <c r="B26" s="1">
        <f>IFERROR(__xludf.DUMMYFUNCTION("""COMPUTED_VALUE"""),361.62)</f>
        <v>361.62</v>
      </c>
    </row>
    <row r="27">
      <c r="A27" s="3">
        <f>IFERROR(__xludf.DUMMYFUNCTION("""COMPUTED_VALUE"""),45702.66666666667)</f>
        <v>45702.66667</v>
      </c>
      <c r="B27" s="1">
        <f>IFERROR(__xludf.DUMMYFUNCTION("""COMPUTED_VALUE"""),355.84)</f>
        <v>355.84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IFERROR(__xludf.DUMMYFUNCTION("GOOGLEFINANCE(""NASDAQ:META"",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IFERROR(__xludf.DUMMYFUNCTION("""COMPUTED_VALUE"""),528.0)</f>
        <v>528</v>
      </c>
    </row>
    <row r="3">
      <c r="A3" s="3">
        <f>IFERROR(__xludf.DUMMYFUNCTION("""COMPUTED_VALUE"""),45534.66666666667)</f>
        <v>45534.66667</v>
      </c>
      <c r="B3" s="1">
        <f>IFERROR(__xludf.DUMMYFUNCTION("""COMPUTED_VALUE"""),521.31)</f>
        <v>521.31</v>
      </c>
    </row>
    <row r="4">
      <c r="A4" s="3">
        <f>IFERROR(__xludf.DUMMYFUNCTION("""COMPUTED_VALUE"""),45541.66666666667)</f>
        <v>45541.66667</v>
      </c>
      <c r="B4" s="1">
        <f>IFERROR(__xludf.DUMMYFUNCTION("""COMPUTED_VALUE"""),500.27)</f>
        <v>500.27</v>
      </c>
    </row>
    <row r="5">
      <c r="A5" s="3">
        <f>IFERROR(__xludf.DUMMYFUNCTION("""COMPUTED_VALUE"""),45548.66666666667)</f>
        <v>45548.66667</v>
      </c>
      <c r="B5" s="1">
        <f>IFERROR(__xludf.DUMMYFUNCTION("""COMPUTED_VALUE"""),524.62)</f>
        <v>524.62</v>
      </c>
    </row>
    <row r="6">
      <c r="A6" s="3">
        <f>IFERROR(__xludf.DUMMYFUNCTION("""COMPUTED_VALUE"""),45555.66666666667)</f>
        <v>45555.66667</v>
      </c>
      <c r="B6" s="1">
        <f>IFERROR(__xludf.DUMMYFUNCTION("""COMPUTED_VALUE"""),561.35)</f>
        <v>561.35</v>
      </c>
    </row>
    <row r="7">
      <c r="A7" s="3">
        <f>IFERROR(__xludf.DUMMYFUNCTION("""COMPUTED_VALUE"""),45562.66666666667)</f>
        <v>45562.66667</v>
      </c>
      <c r="B7" s="1">
        <f>IFERROR(__xludf.DUMMYFUNCTION("""COMPUTED_VALUE"""),567.36)</f>
        <v>567.36</v>
      </c>
    </row>
    <row r="8">
      <c r="A8" s="3">
        <f>IFERROR(__xludf.DUMMYFUNCTION("""COMPUTED_VALUE"""),45569.66666666667)</f>
        <v>45569.66667</v>
      </c>
      <c r="B8" s="1">
        <f>IFERROR(__xludf.DUMMYFUNCTION("""COMPUTED_VALUE"""),595.94)</f>
        <v>595.94</v>
      </c>
    </row>
    <row r="9">
      <c r="A9" s="3">
        <f>IFERROR(__xludf.DUMMYFUNCTION("""COMPUTED_VALUE"""),45576.66666666667)</f>
        <v>45576.66667</v>
      </c>
      <c r="B9" s="1">
        <f>IFERROR(__xludf.DUMMYFUNCTION("""COMPUTED_VALUE"""),589.95)</f>
        <v>589.95</v>
      </c>
    </row>
    <row r="10">
      <c r="A10" s="3">
        <f>IFERROR(__xludf.DUMMYFUNCTION("""COMPUTED_VALUE"""),45583.66666666667)</f>
        <v>45583.66667</v>
      </c>
      <c r="B10" s="1">
        <f>IFERROR(__xludf.DUMMYFUNCTION("""COMPUTED_VALUE"""),576.47)</f>
        <v>576.47</v>
      </c>
    </row>
    <row r="11">
      <c r="A11" s="3">
        <f>IFERROR(__xludf.DUMMYFUNCTION("""COMPUTED_VALUE"""),45590.66666666667)</f>
        <v>45590.66667</v>
      </c>
      <c r="B11" s="1">
        <f>IFERROR(__xludf.DUMMYFUNCTION("""COMPUTED_VALUE"""),573.25)</f>
        <v>573.25</v>
      </c>
    </row>
    <row r="12">
      <c r="A12" s="3">
        <f>IFERROR(__xludf.DUMMYFUNCTION("""COMPUTED_VALUE"""),45597.66666666667)</f>
        <v>45597.66667</v>
      </c>
      <c r="B12" s="1">
        <f>IFERROR(__xludf.DUMMYFUNCTION("""COMPUTED_VALUE"""),567.16)</f>
        <v>567.16</v>
      </c>
    </row>
    <row r="13">
      <c r="A13" s="3">
        <f>IFERROR(__xludf.DUMMYFUNCTION("""COMPUTED_VALUE"""),45604.66666666667)</f>
        <v>45604.66667</v>
      </c>
      <c r="B13" s="1">
        <f>IFERROR(__xludf.DUMMYFUNCTION("""COMPUTED_VALUE"""),589.34)</f>
        <v>589.34</v>
      </c>
    </row>
    <row r="14">
      <c r="A14" s="3">
        <f>IFERROR(__xludf.DUMMYFUNCTION("""COMPUTED_VALUE"""),45611.66666666667)</f>
        <v>45611.66667</v>
      </c>
      <c r="B14" s="1">
        <f>IFERROR(__xludf.DUMMYFUNCTION("""COMPUTED_VALUE"""),554.08)</f>
        <v>554.08</v>
      </c>
    </row>
    <row r="15">
      <c r="A15" s="3">
        <f>IFERROR(__xludf.DUMMYFUNCTION("""COMPUTED_VALUE"""),45618.66666666667)</f>
        <v>45618.66667</v>
      </c>
      <c r="B15" s="1">
        <f>IFERROR(__xludf.DUMMYFUNCTION("""COMPUTED_VALUE"""),559.14)</f>
        <v>559.14</v>
      </c>
    </row>
    <row r="16">
      <c r="A16" s="3">
        <f>IFERROR(__xludf.DUMMYFUNCTION("""COMPUTED_VALUE"""),45625.54513888889)</f>
        <v>45625.54514</v>
      </c>
      <c r="B16" s="1">
        <f>IFERROR(__xludf.DUMMYFUNCTION("""COMPUTED_VALUE"""),574.32)</f>
        <v>574.32</v>
      </c>
    </row>
    <row r="17">
      <c r="A17" s="3">
        <f>IFERROR(__xludf.DUMMYFUNCTION("""COMPUTED_VALUE"""),45632.66666666667)</f>
        <v>45632.66667</v>
      </c>
      <c r="B17" s="1">
        <f>IFERROR(__xludf.DUMMYFUNCTION("""COMPUTED_VALUE"""),623.77)</f>
        <v>623.77</v>
      </c>
    </row>
    <row r="18">
      <c r="A18" s="3">
        <f>IFERROR(__xludf.DUMMYFUNCTION("""COMPUTED_VALUE"""),45639.66666666667)</f>
        <v>45639.66667</v>
      </c>
      <c r="B18" s="1">
        <f>IFERROR(__xludf.DUMMYFUNCTION("""COMPUTED_VALUE"""),620.35)</f>
        <v>620.35</v>
      </c>
    </row>
    <row r="19">
      <c r="A19" s="3">
        <f>IFERROR(__xludf.DUMMYFUNCTION("""COMPUTED_VALUE"""),45646.66666666667)</f>
        <v>45646.66667</v>
      </c>
      <c r="B19" s="1">
        <f>IFERROR(__xludf.DUMMYFUNCTION("""COMPUTED_VALUE"""),585.25)</f>
        <v>585.25</v>
      </c>
    </row>
    <row r="20">
      <c r="A20" s="3">
        <f>IFERROR(__xludf.DUMMYFUNCTION("""COMPUTED_VALUE"""),45653.66666666667)</f>
        <v>45653.66667</v>
      </c>
      <c r="B20" s="1">
        <f>IFERROR(__xludf.DUMMYFUNCTION("""COMPUTED_VALUE"""),599.81)</f>
        <v>599.81</v>
      </c>
    </row>
    <row r="21">
      <c r="A21" s="3">
        <f>IFERROR(__xludf.DUMMYFUNCTION("""COMPUTED_VALUE"""),45660.66666666667)</f>
        <v>45660.66667</v>
      </c>
      <c r="B21" s="1">
        <f>IFERROR(__xludf.DUMMYFUNCTION("""COMPUTED_VALUE"""),604.63)</f>
        <v>604.63</v>
      </c>
    </row>
    <row r="22">
      <c r="A22" s="3">
        <f>IFERROR(__xludf.DUMMYFUNCTION("""COMPUTED_VALUE"""),45667.66666666667)</f>
        <v>45667.66667</v>
      </c>
      <c r="B22" s="1">
        <f>IFERROR(__xludf.DUMMYFUNCTION("""COMPUTED_VALUE"""),615.86)</f>
        <v>615.86</v>
      </c>
    </row>
    <row r="23">
      <c r="A23" s="3">
        <f>IFERROR(__xludf.DUMMYFUNCTION("""COMPUTED_VALUE"""),45674.66666666667)</f>
        <v>45674.66667</v>
      </c>
      <c r="B23" s="1">
        <f>IFERROR(__xludf.DUMMYFUNCTION("""COMPUTED_VALUE"""),612.77)</f>
        <v>612.77</v>
      </c>
    </row>
    <row r="24">
      <c r="A24" s="3">
        <f>IFERROR(__xludf.DUMMYFUNCTION("""COMPUTED_VALUE"""),45681.66666666667)</f>
        <v>45681.66667</v>
      </c>
      <c r="B24" s="1">
        <f>IFERROR(__xludf.DUMMYFUNCTION("""COMPUTED_VALUE"""),647.49)</f>
        <v>647.49</v>
      </c>
    </row>
    <row r="25">
      <c r="A25" s="3">
        <f>IFERROR(__xludf.DUMMYFUNCTION("""COMPUTED_VALUE"""),45688.66666666667)</f>
        <v>45688.66667</v>
      </c>
      <c r="B25" s="1">
        <f>IFERROR(__xludf.DUMMYFUNCTION("""COMPUTED_VALUE"""),689.18)</f>
        <v>689.18</v>
      </c>
    </row>
    <row r="26">
      <c r="A26" s="3">
        <f>IFERROR(__xludf.DUMMYFUNCTION("""COMPUTED_VALUE"""),45695.66666666667)</f>
        <v>45695.66667</v>
      </c>
      <c r="B26" s="1">
        <f>IFERROR(__xludf.DUMMYFUNCTION("""COMPUTED_VALUE"""),714.52)</f>
        <v>714.52</v>
      </c>
    </row>
    <row r="27">
      <c r="A27" s="3">
        <f>IFERROR(__xludf.DUMMYFUNCTION("""COMPUTED_VALUE"""),45702.66666666667)</f>
        <v>45702.66667</v>
      </c>
      <c r="B27" s="1">
        <f>IFERROR(__xludf.DUMMYFUNCTION("""COMPUTED_VALUE"""),736.67)</f>
        <v>736.67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IFERROR(__xludf.DUMMYFUNCTION("GOOGLEFINANCE(""NYSE:BRK.B"",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IFERROR(__xludf.DUMMYFUNCTION("""COMPUTED_VALUE"""),453.38)</f>
        <v>453.38</v>
      </c>
    </row>
    <row r="3">
      <c r="A3" s="3">
        <f>IFERROR(__xludf.DUMMYFUNCTION("""COMPUTED_VALUE"""),45534.66666666667)</f>
        <v>45534.66667</v>
      </c>
      <c r="B3" s="1">
        <f>IFERROR(__xludf.DUMMYFUNCTION("""COMPUTED_VALUE"""),475.92)</f>
        <v>475.92</v>
      </c>
    </row>
    <row r="4">
      <c r="A4" s="3">
        <f>IFERROR(__xludf.DUMMYFUNCTION("""COMPUTED_VALUE"""),45541.66666666667)</f>
        <v>45541.66667</v>
      </c>
      <c r="B4" s="1">
        <f>IFERROR(__xludf.DUMMYFUNCTION("""COMPUTED_VALUE"""),459.42)</f>
        <v>459.42</v>
      </c>
    </row>
    <row r="5">
      <c r="A5" s="3">
        <f>IFERROR(__xludf.DUMMYFUNCTION("""COMPUTED_VALUE"""),45548.66666666667)</f>
        <v>45548.66667</v>
      </c>
      <c r="B5" s="1">
        <f>IFERROR(__xludf.DUMMYFUNCTION("""COMPUTED_VALUE"""),447.61)</f>
        <v>447.61</v>
      </c>
    </row>
    <row r="6">
      <c r="A6" s="3">
        <f>IFERROR(__xludf.DUMMYFUNCTION("""COMPUTED_VALUE"""),45555.66666666667)</f>
        <v>45555.66667</v>
      </c>
      <c r="B6" s="1">
        <f>IFERROR(__xludf.DUMMYFUNCTION("""COMPUTED_VALUE"""),455.31)</f>
        <v>455.31</v>
      </c>
    </row>
    <row r="7">
      <c r="A7" s="3">
        <f>IFERROR(__xludf.DUMMYFUNCTION("""COMPUTED_VALUE"""),45562.66666666667)</f>
        <v>45562.66667</v>
      </c>
      <c r="B7" s="1">
        <f>IFERROR(__xludf.DUMMYFUNCTION("""COMPUTED_VALUE"""),457.47)</f>
        <v>457.47</v>
      </c>
    </row>
    <row r="8">
      <c r="A8" s="3">
        <f>IFERROR(__xludf.DUMMYFUNCTION("""COMPUTED_VALUE"""),45569.66666666667)</f>
        <v>45569.66667</v>
      </c>
      <c r="B8" s="1">
        <f>IFERROR(__xludf.DUMMYFUNCTION("""COMPUTED_VALUE"""),461.97)</f>
        <v>461.97</v>
      </c>
    </row>
    <row r="9">
      <c r="A9" s="3">
        <f>IFERROR(__xludf.DUMMYFUNCTION("""COMPUTED_VALUE"""),45576.66666666667)</f>
        <v>45576.66667</v>
      </c>
      <c r="B9" s="1">
        <f>IFERROR(__xludf.DUMMYFUNCTION("""COMPUTED_VALUE"""),460.21)</f>
        <v>460.21</v>
      </c>
    </row>
    <row r="10">
      <c r="A10" s="3">
        <f>IFERROR(__xludf.DUMMYFUNCTION("""COMPUTED_VALUE"""),45583.66666666667)</f>
        <v>45583.66667</v>
      </c>
      <c r="B10" s="1">
        <f>IFERROR(__xludf.DUMMYFUNCTION("""COMPUTED_VALUE"""),464.8)</f>
        <v>464.8</v>
      </c>
    </row>
    <row r="11">
      <c r="A11" s="3">
        <f>IFERROR(__xludf.DUMMYFUNCTION("""COMPUTED_VALUE"""),45590.66666666667)</f>
        <v>45590.66667</v>
      </c>
      <c r="B11" s="1">
        <f>IFERROR(__xludf.DUMMYFUNCTION("""COMPUTED_VALUE"""),454.01)</f>
        <v>454.01</v>
      </c>
    </row>
    <row r="12">
      <c r="A12" s="3">
        <f>IFERROR(__xludf.DUMMYFUNCTION("""COMPUTED_VALUE"""),45597.66666666667)</f>
        <v>45597.66667</v>
      </c>
      <c r="B12" s="1">
        <f>IFERROR(__xludf.DUMMYFUNCTION("""COMPUTED_VALUE"""),452.14)</f>
        <v>452.14</v>
      </c>
    </row>
    <row r="13">
      <c r="A13" s="3">
        <f>IFERROR(__xludf.DUMMYFUNCTION("""COMPUTED_VALUE"""),45604.66666666667)</f>
        <v>45604.66667</v>
      </c>
      <c r="B13" s="1">
        <f>IFERROR(__xludf.DUMMYFUNCTION("""COMPUTED_VALUE"""),463.41)</f>
        <v>463.41</v>
      </c>
    </row>
    <row r="14">
      <c r="A14" s="3">
        <f>IFERROR(__xludf.DUMMYFUNCTION("""COMPUTED_VALUE"""),45611.66666666667)</f>
        <v>45611.66667</v>
      </c>
      <c r="B14" s="1">
        <f>IFERROR(__xludf.DUMMYFUNCTION("""COMPUTED_VALUE"""),470.28)</f>
        <v>470.28</v>
      </c>
    </row>
    <row r="15">
      <c r="A15" s="3">
        <f>IFERROR(__xludf.DUMMYFUNCTION("""COMPUTED_VALUE"""),45618.66666666667)</f>
        <v>45618.66667</v>
      </c>
      <c r="B15" s="1">
        <f>IFERROR(__xludf.DUMMYFUNCTION("""COMPUTED_VALUE"""),476.57)</f>
        <v>476.57</v>
      </c>
    </row>
    <row r="16">
      <c r="A16" s="3">
        <f>IFERROR(__xludf.DUMMYFUNCTION("""COMPUTED_VALUE"""),45625.54166666667)</f>
        <v>45625.54167</v>
      </c>
      <c r="B16" s="1">
        <f>IFERROR(__xludf.DUMMYFUNCTION("""COMPUTED_VALUE"""),483.02)</f>
        <v>483.02</v>
      </c>
    </row>
    <row r="17">
      <c r="A17" s="3">
        <f>IFERROR(__xludf.DUMMYFUNCTION("""COMPUTED_VALUE"""),45632.66666666667)</f>
        <v>45632.66667</v>
      </c>
      <c r="B17" s="1">
        <f>IFERROR(__xludf.DUMMYFUNCTION("""COMPUTED_VALUE"""),470.5)</f>
        <v>470.5</v>
      </c>
    </row>
    <row r="18">
      <c r="A18" s="3">
        <f>IFERROR(__xludf.DUMMYFUNCTION("""COMPUTED_VALUE"""),45639.66666666667)</f>
        <v>45639.66667</v>
      </c>
      <c r="B18" s="1">
        <f>IFERROR(__xludf.DUMMYFUNCTION("""COMPUTED_VALUE"""),457.9)</f>
        <v>457.9</v>
      </c>
    </row>
    <row r="19">
      <c r="A19" s="3">
        <f>IFERROR(__xludf.DUMMYFUNCTION("""COMPUTED_VALUE"""),45646.66666666667)</f>
        <v>45646.66667</v>
      </c>
      <c r="B19" s="1">
        <f>IFERROR(__xludf.DUMMYFUNCTION("""COMPUTED_VALUE"""),453.2)</f>
        <v>453.2</v>
      </c>
    </row>
    <row r="20">
      <c r="A20" s="3">
        <f>IFERROR(__xludf.DUMMYFUNCTION("""COMPUTED_VALUE"""),45653.66666666667)</f>
        <v>45653.66667</v>
      </c>
      <c r="B20" s="1">
        <f>IFERROR(__xludf.DUMMYFUNCTION("""COMPUTED_VALUE"""),456.51)</f>
        <v>456.51</v>
      </c>
    </row>
    <row r="21">
      <c r="A21" s="3">
        <f>IFERROR(__xludf.DUMMYFUNCTION("""COMPUTED_VALUE"""),45660.66666666667)</f>
        <v>45660.66667</v>
      </c>
      <c r="B21" s="1">
        <f>IFERROR(__xludf.DUMMYFUNCTION("""COMPUTED_VALUE"""),453.56)</f>
        <v>453.56</v>
      </c>
    </row>
    <row r="22">
      <c r="A22" s="3">
        <f>IFERROR(__xludf.DUMMYFUNCTION("""COMPUTED_VALUE"""),45667.66666666667)</f>
        <v>45667.66667</v>
      </c>
      <c r="B22" s="1">
        <f>IFERROR(__xludf.DUMMYFUNCTION("""COMPUTED_VALUE"""),442.66)</f>
        <v>442.66</v>
      </c>
    </row>
    <row r="23">
      <c r="A23" s="3">
        <f>IFERROR(__xludf.DUMMYFUNCTION("""COMPUTED_VALUE"""),45674.66666666667)</f>
        <v>45674.66667</v>
      </c>
      <c r="B23" s="1">
        <f>IFERROR(__xludf.DUMMYFUNCTION("""COMPUTED_VALUE"""),467.95)</f>
        <v>467.95</v>
      </c>
    </row>
    <row r="24">
      <c r="A24" s="3">
        <f>IFERROR(__xludf.DUMMYFUNCTION("""COMPUTED_VALUE"""),45681.66666666667)</f>
        <v>45681.66667</v>
      </c>
      <c r="B24" s="1">
        <f>IFERROR(__xludf.DUMMYFUNCTION("""COMPUTED_VALUE"""),463.19)</f>
        <v>463.19</v>
      </c>
    </row>
    <row r="25">
      <c r="A25" s="3">
        <f>IFERROR(__xludf.DUMMYFUNCTION("""COMPUTED_VALUE"""),45688.66666666667)</f>
        <v>45688.66667</v>
      </c>
      <c r="B25" s="1">
        <f>IFERROR(__xludf.DUMMYFUNCTION("""COMPUTED_VALUE"""),468.67)</f>
        <v>468.67</v>
      </c>
    </row>
    <row r="26">
      <c r="A26" s="3">
        <f>IFERROR(__xludf.DUMMYFUNCTION("""COMPUTED_VALUE"""),45695.66666666667)</f>
        <v>45695.66667</v>
      </c>
      <c r="B26" s="1">
        <f>IFERROR(__xludf.DUMMYFUNCTION("""COMPUTED_VALUE"""),472.74)</f>
        <v>472.74</v>
      </c>
    </row>
    <row r="27">
      <c r="A27" s="3">
        <f>IFERROR(__xludf.DUMMYFUNCTION("""COMPUTED_VALUE"""),45702.66666666667)</f>
        <v>45702.66667</v>
      </c>
      <c r="B27" s="1">
        <f>IFERROR(__xludf.DUMMYFUNCTION("""COMPUTED_VALUE"""),479.59)</f>
        <v>479.59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IFERROR(__xludf.DUMMYFUNCTION("GOOGLEFINANCE(""NYSE:UNH"", ""price"", TODAY()-182, TODAY(), ""WEEKLY"")"),"Date")</f>
        <v>Date</v>
      </c>
      <c r="B1" s="1" t="str">
        <f>IFERROR(__xludf.DUMMYFUNCTION("""COMPUTED_VALUE"""),"Close")</f>
        <v>Close</v>
      </c>
    </row>
    <row r="2">
      <c r="A2" s="3">
        <f>IFERROR(__xludf.DUMMYFUNCTION("""COMPUTED_VALUE"""),45527.66666666667)</f>
        <v>45527.66667</v>
      </c>
      <c r="B2" s="1">
        <f>IFERROR(__xludf.DUMMYFUNCTION("""COMPUTED_VALUE"""),584.51)</f>
        <v>584.51</v>
      </c>
    </row>
    <row r="3">
      <c r="A3" s="3">
        <f>IFERROR(__xludf.DUMMYFUNCTION("""COMPUTED_VALUE"""),45534.66666666667)</f>
        <v>45534.66667</v>
      </c>
      <c r="B3" s="1">
        <f>IFERROR(__xludf.DUMMYFUNCTION("""COMPUTED_VALUE"""),590.2)</f>
        <v>590.2</v>
      </c>
    </row>
    <row r="4">
      <c r="A4" s="3">
        <f>IFERROR(__xludf.DUMMYFUNCTION("""COMPUTED_VALUE"""),45541.66666666667)</f>
        <v>45541.66667</v>
      </c>
      <c r="B4" s="1">
        <f>IFERROR(__xludf.DUMMYFUNCTION("""COMPUTED_VALUE"""),596.88)</f>
        <v>596.88</v>
      </c>
    </row>
    <row r="5">
      <c r="A5" s="3">
        <f>IFERROR(__xludf.DUMMYFUNCTION("""COMPUTED_VALUE"""),45548.66666666667)</f>
        <v>45548.66667</v>
      </c>
      <c r="B5" s="1">
        <f>IFERROR(__xludf.DUMMYFUNCTION("""COMPUTED_VALUE"""),594.32)</f>
        <v>594.32</v>
      </c>
    </row>
    <row r="6">
      <c r="A6" s="3">
        <f>IFERROR(__xludf.DUMMYFUNCTION("""COMPUTED_VALUE"""),45555.66666666667)</f>
        <v>45555.66667</v>
      </c>
      <c r="B6" s="1">
        <f>IFERROR(__xludf.DUMMYFUNCTION("""COMPUTED_VALUE"""),575.0)</f>
        <v>575</v>
      </c>
    </row>
    <row r="7">
      <c r="A7" s="3">
        <f>IFERROR(__xludf.DUMMYFUNCTION("""COMPUTED_VALUE"""),45562.66666666667)</f>
        <v>45562.66667</v>
      </c>
      <c r="B7" s="1">
        <f>IFERROR(__xludf.DUMMYFUNCTION("""COMPUTED_VALUE"""),581.85)</f>
        <v>581.85</v>
      </c>
    </row>
    <row r="8">
      <c r="A8" s="3">
        <f>IFERROR(__xludf.DUMMYFUNCTION("""COMPUTED_VALUE"""),45569.66666666667)</f>
        <v>45569.66667</v>
      </c>
      <c r="B8" s="1">
        <f>IFERROR(__xludf.DUMMYFUNCTION("""COMPUTED_VALUE"""),591.2)</f>
        <v>591.2</v>
      </c>
    </row>
    <row r="9">
      <c r="A9" s="3">
        <f>IFERROR(__xludf.DUMMYFUNCTION("""COMPUTED_VALUE"""),45576.66666666667)</f>
        <v>45576.66667</v>
      </c>
      <c r="B9" s="1">
        <f>IFERROR(__xludf.DUMMYFUNCTION("""COMPUTED_VALUE"""),598.05)</f>
        <v>598.05</v>
      </c>
    </row>
    <row r="10">
      <c r="A10" s="3">
        <f>IFERROR(__xludf.DUMMYFUNCTION("""COMPUTED_VALUE"""),45583.66666666667)</f>
        <v>45583.66667</v>
      </c>
      <c r="B10" s="1">
        <f>IFERROR(__xludf.DUMMYFUNCTION("""COMPUTED_VALUE"""),569.61)</f>
        <v>569.61</v>
      </c>
    </row>
    <row r="11">
      <c r="A11" s="3">
        <f>IFERROR(__xludf.DUMMYFUNCTION("""COMPUTED_VALUE"""),45590.66666666667)</f>
        <v>45590.66667</v>
      </c>
      <c r="B11" s="1">
        <f>IFERROR(__xludf.DUMMYFUNCTION("""COMPUTED_VALUE"""),564.56)</f>
        <v>564.56</v>
      </c>
    </row>
    <row r="12">
      <c r="A12" s="3">
        <f>IFERROR(__xludf.DUMMYFUNCTION("""COMPUTED_VALUE"""),45597.66666666667)</f>
        <v>45597.66667</v>
      </c>
      <c r="B12" s="1">
        <f>IFERROR(__xludf.DUMMYFUNCTION("""COMPUTED_VALUE"""),567.56)</f>
        <v>567.56</v>
      </c>
    </row>
    <row r="13">
      <c r="A13" s="3">
        <f>IFERROR(__xludf.DUMMYFUNCTION("""COMPUTED_VALUE"""),45604.66666666667)</f>
        <v>45604.66667</v>
      </c>
      <c r="B13" s="1">
        <f>IFERROR(__xludf.DUMMYFUNCTION("""COMPUTED_VALUE"""),615.81)</f>
        <v>615.81</v>
      </c>
    </row>
    <row r="14">
      <c r="A14" s="3">
        <f>IFERROR(__xludf.DUMMYFUNCTION("""COMPUTED_VALUE"""),45611.66666666667)</f>
        <v>45611.66667</v>
      </c>
      <c r="B14" s="1">
        <f>IFERROR(__xludf.DUMMYFUNCTION("""COMPUTED_VALUE"""),592.23)</f>
        <v>592.23</v>
      </c>
    </row>
    <row r="15">
      <c r="A15" s="3">
        <f>IFERROR(__xludf.DUMMYFUNCTION("""COMPUTED_VALUE"""),45618.66666666667)</f>
        <v>45618.66667</v>
      </c>
      <c r="B15" s="1">
        <f>IFERROR(__xludf.DUMMYFUNCTION("""COMPUTED_VALUE"""),590.87)</f>
        <v>590.87</v>
      </c>
    </row>
    <row r="16">
      <c r="A16" s="3">
        <f>IFERROR(__xludf.DUMMYFUNCTION("""COMPUTED_VALUE"""),45625.54166666667)</f>
        <v>45625.54167</v>
      </c>
      <c r="B16" s="1">
        <f>IFERROR(__xludf.DUMMYFUNCTION("""COMPUTED_VALUE"""),610.2)</f>
        <v>610.2</v>
      </c>
    </row>
    <row r="17">
      <c r="A17" s="3">
        <f>IFERROR(__xludf.DUMMYFUNCTION("""COMPUTED_VALUE"""),45632.66666666667)</f>
        <v>45632.66667</v>
      </c>
      <c r="B17" s="1">
        <f>IFERROR(__xludf.DUMMYFUNCTION("""COMPUTED_VALUE"""),549.62)</f>
        <v>549.62</v>
      </c>
    </row>
    <row r="18">
      <c r="A18" s="3">
        <f>IFERROR(__xludf.DUMMYFUNCTION("""COMPUTED_VALUE"""),45639.66666666667)</f>
        <v>45639.66667</v>
      </c>
      <c r="B18" s="1">
        <f>IFERROR(__xludf.DUMMYFUNCTION("""COMPUTED_VALUE"""),520.48)</f>
        <v>520.48</v>
      </c>
    </row>
    <row r="19">
      <c r="A19" s="3">
        <f>IFERROR(__xludf.DUMMYFUNCTION("""COMPUTED_VALUE"""),45646.66666666667)</f>
        <v>45646.66667</v>
      </c>
      <c r="B19" s="1">
        <f>IFERROR(__xludf.DUMMYFUNCTION("""COMPUTED_VALUE"""),500.13)</f>
        <v>500.13</v>
      </c>
    </row>
    <row r="20">
      <c r="A20" s="3">
        <f>IFERROR(__xludf.DUMMYFUNCTION("""COMPUTED_VALUE"""),45653.66666666667)</f>
        <v>45653.66667</v>
      </c>
      <c r="B20" s="1">
        <f>IFERROR(__xludf.DUMMYFUNCTION("""COMPUTED_VALUE"""),509.99)</f>
        <v>509.99</v>
      </c>
    </row>
    <row r="21">
      <c r="A21" s="3">
        <f>IFERROR(__xludf.DUMMYFUNCTION("""COMPUTED_VALUE"""),45660.66666666667)</f>
        <v>45660.66667</v>
      </c>
      <c r="B21" s="1">
        <f>IFERROR(__xludf.DUMMYFUNCTION("""COMPUTED_VALUE"""),513.0)</f>
        <v>513</v>
      </c>
    </row>
    <row r="22">
      <c r="A22" s="3">
        <f>IFERROR(__xludf.DUMMYFUNCTION("""COMPUTED_VALUE"""),45667.66666666667)</f>
        <v>45667.66667</v>
      </c>
      <c r="B22" s="1">
        <f>IFERROR(__xludf.DUMMYFUNCTION("""COMPUTED_VALUE"""),520.69)</f>
        <v>520.69</v>
      </c>
    </row>
    <row r="23">
      <c r="A23" s="3">
        <f>IFERROR(__xludf.DUMMYFUNCTION("""COMPUTED_VALUE"""),45674.66666666667)</f>
        <v>45674.66667</v>
      </c>
      <c r="B23" s="1">
        <f>IFERROR(__xludf.DUMMYFUNCTION("""COMPUTED_VALUE"""),509.76)</f>
        <v>509.76</v>
      </c>
    </row>
    <row r="24">
      <c r="A24" s="3">
        <f>IFERROR(__xludf.DUMMYFUNCTION("""COMPUTED_VALUE"""),45681.66666666667)</f>
        <v>45681.66667</v>
      </c>
      <c r="B24" s="1">
        <f>IFERROR(__xludf.DUMMYFUNCTION("""COMPUTED_VALUE"""),532.51)</f>
        <v>532.51</v>
      </c>
    </row>
    <row r="25">
      <c r="A25" s="3">
        <f>IFERROR(__xludf.DUMMYFUNCTION("""COMPUTED_VALUE"""),45688.66666666667)</f>
        <v>45688.66667</v>
      </c>
      <c r="B25" s="1">
        <f>IFERROR(__xludf.DUMMYFUNCTION("""COMPUTED_VALUE"""),542.49)</f>
        <v>542.49</v>
      </c>
    </row>
    <row r="26">
      <c r="A26" s="3">
        <f>IFERROR(__xludf.DUMMYFUNCTION("""COMPUTED_VALUE"""),45695.66666666667)</f>
        <v>45695.66667</v>
      </c>
      <c r="B26" s="1">
        <f>IFERROR(__xludf.DUMMYFUNCTION("""COMPUTED_VALUE"""),527.03)</f>
        <v>527.03</v>
      </c>
    </row>
    <row r="27">
      <c r="A27" s="3">
        <f>IFERROR(__xludf.DUMMYFUNCTION("""COMPUTED_VALUE"""),45702.66666666667)</f>
        <v>45702.66667</v>
      </c>
      <c r="B27" s="1">
        <f>IFERROR(__xludf.DUMMYFUNCTION("""COMPUTED_VALUE"""),523.51)</f>
        <v>523.51</v>
      </c>
    </row>
  </sheetData>
  <drawing r:id="rId1"/>
</worksheet>
</file>